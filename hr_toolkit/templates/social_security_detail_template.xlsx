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4940" tabRatio="600" firstSheet="0" activeTab="0" autoFilterDateGrouping="1"/>
  </bookViews>
  <sheets>
    <sheet xmlns:r="http://schemas.openxmlformats.org/officeDocument/2006/relationships" name="社保明细表模板" sheetId="1" state="visible" r:id="rId1"/>
  </sheets>
  <externalReferences>
    <externalReference xmlns:r="http://schemas.openxmlformats.org/officeDocument/2006/relationships" r:id="rId2"/>
  </externalReferences>
  <definedNames>
    <definedName name="覆盖场景">[1]枚举值sheet!$D$1:$D$50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%"/>
    <numFmt numFmtId="166" formatCode="0.00_ "/>
  </numFmts>
  <fonts count="24">
    <font>
      <name val="宋体"/>
      <charset val="134"/>
      <color theme="1"/>
      <sz val="11"/>
      <scheme val="minor"/>
    </font>
    <font>
      <name val="宋体"/>
      <charset val="134"/>
      <sz val="10"/>
      <scheme val="minor"/>
    </font>
    <font>
      <name val="宋体"/>
      <charset val="134"/>
      <b val="1"/>
      <sz val="18"/>
      <scheme val="minor"/>
    </font>
    <font>
      <name val="宋体"/>
      <charset val="134"/>
      <b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6AFA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13" borderId="8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9" applyAlignment="1">
      <alignment vertical="center"/>
    </xf>
    <xf numFmtId="0" fontId="10" fillId="0" borderId="9" applyAlignment="1">
      <alignment vertical="center"/>
    </xf>
    <xf numFmtId="0" fontId="11" fillId="0" borderId="10" applyAlignment="1">
      <alignment vertical="center"/>
    </xf>
    <xf numFmtId="0" fontId="11" fillId="0" borderId="0" applyAlignment="1">
      <alignment vertical="center"/>
    </xf>
    <xf numFmtId="0" fontId="12" fillId="14" borderId="11" applyAlignment="1">
      <alignment vertical="center"/>
    </xf>
    <xf numFmtId="0" fontId="13" fillId="15" borderId="12" applyAlignment="1">
      <alignment vertical="center"/>
    </xf>
    <xf numFmtId="0" fontId="14" fillId="15" borderId="11" applyAlignment="1">
      <alignment vertical="center"/>
    </xf>
    <xf numFmtId="0" fontId="15" fillId="16" borderId="13" applyAlignment="1">
      <alignment vertical="center"/>
    </xf>
    <xf numFmtId="0" fontId="16" fillId="0" borderId="14" applyAlignment="1">
      <alignment vertical="center"/>
    </xf>
    <xf numFmtId="0" fontId="17" fillId="0" borderId="15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3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7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  <xf numFmtId="0" fontId="21" fillId="37" borderId="0" applyAlignment="1">
      <alignment vertical="center"/>
    </xf>
    <xf numFmtId="0" fontId="22" fillId="38" borderId="0" applyAlignment="1">
      <alignment vertical="center"/>
    </xf>
    <xf numFmtId="0" fontId="22" fillId="5" borderId="0" applyAlignment="1">
      <alignment vertical="center"/>
    </xf>
    <xf numFmtId="0" fontId="21" fillId="39" borderId="0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3" fillId="9" borderId="5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 wrapText="1"/>
    </xf>
    <xf numFmtId="0" fontId="3" fillId="9" borderId="6" applyAlignment="1" pivotButton="0" quotePrefix="0" xfId="0">
      <alignment horizontal="center" vertical="center"/>
    </xf>
    <xf numFmtId="0" fontId="3" fillId="10" borderId="6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 wrapText="1"/>
    </xf>
    <xf numFmtId="0" fontId="3" fillId="11" borderId="7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/>
    </xf>
    <xf numFmtId="0" fontId="3" fillId="12" borderId="5" applyAlignment="1" pivotButton="0" quotePrefix="0" xfId="0">
      <alignment horizontal="center" vertical="center" wrapText="1"/>
    </xf>
    <xf numFmtId="0" fontId="3" fillId="12" borderId="5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 wrapText="1"/>
    </xf>
    <xf numFmtId="0" fontId="3" fillId="12" borderId="6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164" fontId="3" fillId="2" borderId="3" applyAlignment="1" pivotButton="0" quotePrefix="0" xfId="0">
      <alignment horizontal="center" vertical="center" wrapText="1"/>
    </xf>
    <xf numFmtId="164" fontId="1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12" borderId="6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23" fillId="0" borderId="3" applyAlignment="1" pivotButton="0" quotePrefix="0" xfId="0">
      <alignment horizontal="center" vertical="center"/>
    </xf>
    <xf numFmtId="0" fontId="23" fillId="0" borderId="5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49" fontId="23" fillId="0" borderId="2" applyAlignment="1" pivotButton="0" quotePrefix="0" xfId="0">
      <alignment horizontal="center" vertical="center" wrapText="1"/>
    </xf>
    <xf numFmtId="10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0" fontId="23" fillId="9" borderId="2" applyAlignment="1" pivotButton="0" quotePrefix="0" xfId="0">
      <alignment horizontal="center" vertical="center"/>
    </xf>
    <xf numFmtId="10" fontId="23" fillId="9" borderId="2" applyAlignment="1" pivotButton="0" quotePrefix="0" xfId="0">
      <alignment horizontal="center" vertical="center"/>
    </xf>
    <xf numFmtId="0" fontId="23" fillId="1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4" fontId="23" fillId="0" borderId="2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wangjingchuan/Downloads/hr-toolkit/1-3%206-7/&#38382;&#39064;1-3&#30456;&#20851;&#25968;&#25454;&#21450;&#27169;&#26495;/1.&#31038;&#20445;&#31867;&#27169;&#26495;/C:/&#23460;&#20998;&#31995;&#32479;_2017&#24180;11&#26376;20&#26085;_17&#26102;24&#20998;15&#3118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室分系统"/>
      <sheetName val="枚举值sheet"/>
      <sheetName val="Sheet1"/>
      <sheetName val="Sheet2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4"/>
  <sheetViews>
    <sheetView tabSelected="1" topLeftCell="AA1" workbookViewId="0">
      <selection activeCell="BB9" sqref="BB9"/>
    </sheetView>
  </sheetViews>
  <sheetFormatPr baseColWidth="8" defaultColWidth="9" defaultRowHeight="16.8" outlineLevelRow="2"/>
  <cols>
    <col width="5.125" customWidth="1" style="5" min="1" max="1"/>
    <col width="6.44230769230769" customWidth="1" style="5" min="2" max="2"/>
    <col width="6.625" customWidth="1" style="5" min="3" max="3"/>
    <col width="9.22115384615385" customWidth="1" style="5" min="4" max="4"/>
    <col width="9" customWidth="1" style="5" min="5" max="5"/>
    <col width="14.7788461538462" customWidth="1" style="5" min="6" max="6"/>
    <col width="9.66346153846154" customWidth="1" style="5" min="7" max="7"/>
    <col width="8.38461538461539" customWidth="1" style="5" min="8" max="8"/>
    <col width="4.88461538461539" customWidth="1" style="5" min="9" max="9"/>
    <col width="8" customWidth="1" style="5" min="10" max="10"/>
    <col width="10.7788461538462" customWidth="1" style="5" min="11" max="11"/>
    <col width="8.625" customWidth="1" style="5" min="12" max="12"/>
    <col width="10.7788461538462" customWidth="1" style="3" min="13" max="13"/>
    <col width="8.625" customWidth="1" style="4" min="14" max="14"/>
    <col width="8.625" customWidth="1" style="5" min="15" max="15"/>
    <col width="9.66346153846154" customWidth="1" style="5" min="16" max="16"/>
    <col width="8.625" customWidth="1" style="5" min="17" max="17"/>
    <col width="10.7788461538462" customWidth="1" style="5" min="18" max="18"/>
    <col width="7.5" customWidth="1" style="5" min="19" max="19"/>
    <col width="6.625" customWidth="1" style="5" min="20" max="20"/>
    <col width="9.66346153846154" customWidth="1" style="5" min="21" max="21"/>
    <col width="7.125" customWidth="1" style="5" min="22" max="22"/>
    <col width="9.66346153846154" customWidth="1" style="3" min="23" max="23"/>
    <col width="7.5" customWidth="1" style="5" min="24" max="24"/>
    <col width="7.88461538461539" customWidth="1" style="5" min="25" max="25"/>
    <col width="8.66346153846154" customWidth="1" style="3" min="26" max="26"/>
    <col width="7.5" customWidth="1" style="5" min="27" max="27"/>
    <col width="9.38461538461539" customWidth="1" style="5" min="28" max="28"/>
    <col width="8.66346153846154" customWidth="1" style="5" min="29" max="29"/>
    <col width="6.25" customWidth="1" style="5" min="30" max="33"/>
    <col width="7.125" customWidth="1" style="5" min="34" max="34"/>
    <col width="8.66346153846154" customWidth="1" style="5" min="35" max="35"/>
    <col width="7.125" customWidth="1" style="5" min="36" max="36"/>
    <col width="9.66346153846154" customWidth="1" style="5" min="37" max="43"/>
    <col width="5.75" customWidth="1" style="5" min="44" max="45"/>
    <col width="6.75" customWidth="1" style="5" min="46" max="46"/>
    <col width="5.75" customWidth="1" style="5" min="47" max="47"/>
    <col width="7.89423076923077" customWidth="1" style="5" min="48" max="48"/>
    <col width="5.38461538461539" customWidth="1" style="5" min="49" max="49"/>
    <col width="6.625" customWidth="1" style="5" min="50" max="50"/>
    <col width="6.38461538461539" customWidth="1" style="5" min="51" max="51"/>
    <col width="6.625" customWidth="1" style="5" min="52" max="53"/>
    <col width="5.25" customWidth="1" style="5" min="54" max="54"/>
    <col width="6.625" customWidth="1" style="5" min="55" max="55"/>
    <col width="5.625" customWidth="1" style="5" min="56" max="61"/>
    <col width="7.625" customWidth="1" style="4" min="62" max="63"/>
    <col width="9.38461538461539" customWidth="1" style="5" min="64" max="65"/>
    <col width="12.8846153846154" customWidth="1" style="5" min="66" max="66"/>
    <col width="10.625" customWidth="1" style="3" min="67" max="72"/>
    <col width="6.88461538461539" customWidth="1" style="50" min="73" max="73"/>
    <col width="10.625" customWidth="1" style="3" min="74" max="74"/>
    <col width="11.25" customWidth="1" style="3" min="75" max="75"/>
    <col width="15.3846153846154" customWidth="1" style="4" min="76" max="76"/>
  </cols>
  <sheetData>
    <row r="1" ht="42" customHeight="1" s="51">
      <c r="A1" s="17" t="inlineStr">
        <is>
          <t>XXX公司xxx年x月社保明细表</t>
        </is>
      </c>
    </row>
    <row r="2" ht="25" customHeight="1" s="51">
      <c r="A2" s="44" t="inlineStr">
        <is>
          <t>序号</t>
        </is>
      </c>
      <c r="B2" s="44" t="inlineStr">
        <is>
          <t>公司</t>
        </is>
      </c>
      <c r="C2" s="10" t="inlineStr">
        <is>
          <t>参保地</t>
        </is>
      </c>
      <c r="D2" s="10" t="inlineStr">
        <is>
          <t>项目</t>
        </is>
      </c>
      <c r="E2" s="10" t="inlineStr">
        <is>
          <t>姓名</t>
        </is>
      </c>
      <c r="F2" s="10" t="inlineStr">
        <is>
          <t>身份证</t>
        </is>
      </c>
      <c r="G2" s="10" t="inlineStr">
        <is>
          <t>参保时间</t>
        </is>
      </c>
      <c r="H2" s="10" t="inlineStr">
        <is>
          <t>账单期</t>
        </is>
      </c>
      <c r="I2" s="14" t="inlineStr">
        <is>
          <t>养老</t>
        </is>
      </c>
      <c r="J2" s="52" t="n"/>
      <c r="K2" s="52" t="n"/>
      <c r="L2" s="52" t="n"/>
      <c r="M2" s="52" t="n"/>
      <c r="N2" s="19" t="inlineStr">
        <is>
          <t>医疗</t>
        </is>
      </c>
      <c r="O2" s="52" t="n"/>
      <c r="P2" s="52" t="n"/>
      <c r="Q2" s="52" t="n"/>
      <c r="R2" s="52" t="n"/>
      <c r="S2" s="23" t="inlineStr">
        <is>
          <t>失业</t>
        </is>
      </c>
      <c r="T2" s="52" t="n"/>
      <c r="U2" s="52" t="n"/>
      <c r="V2" s="52" t="n"/>
      <c r="W2" s="53" t="n"/>
      <c r="X2" s="26" t="inlineStr">
        <is>
          <t>工伤</t>
        </is>
      </c>
      <c r="Y2" s="52" t="n"/>
      <c r="Z2" s="53" t="n"/>
      <c r="AA2" s="28" t="inlineStr">
        <is>
          <t>补充工伤</t>
        </is>
      </c>
      <c r="AB2" s="52" t="n"/>
      <c r="AC2" s="53" t="n"/>
      <c r="AD2" s="30" t="inlineStr">
        <is>
          <t>生育</t>
        </is>
      </c>
      <c r="AE2" s="52" t="n"/>
      <c r="AF2" s="52" t="n"/>
      <c r="AG2" s="32" t="inlineStr">
        <is>
          <t>大病医疗</t>
        </is>
      </c>
      <c r="AH2" s="52" t="n"/>
      <c r="AI2" s="52" t="n"/>
      <c r="AJ2" s="52" t="n"/>
      <c r="AK2" s="53" t="n"/>
      <c r="AL2" s="35" t="inlineStr">
        <is>
          <t>公积金</t>
        </is>
      </c>
      <c r="AM2" s="52" t="n"/>
      <c r="AN2" s="52" t="n"/>
      <c r="AO2" s="52" t="n"/>
      <c r="AP2" s="53" t="n"/>
      <c r="AQ2" s="36" t="inlineStr">
        <is>
          <t>残保金</t>
        </is>
      </c>
      <c r="AR2" s="37" t="inlineStr">
        <is>
          <t>养老补差</t>
        </is>
      </c>
      <c r="AS2" s="52" t="n"/>
      <c r="AT2" s="52" t="n"/>
      <c r="AU2" s="52" t="n"/>
      <c r="AV2" s="53" t="n"/>
      <c r="AW2" s="54" t="inlineStr">
        <is>
          <t>失业补差</t>
        </is>
      </c>
      <c r="AX2" s="52" t="n"/>
      <c r="AY2" s="52" t="n"/>
      <c r="AZ2" s="52" t="n"/>
      <c r="BA2" s="53" t="n"/>
      <c r="BB2" s="27" t="inlineStr">
        <is>
          <t>工伤补差</t>
        </is>
      </c>
      <c r="BC2" s="52" t="n"/>
      <c r="BD2" s="53" t="n"/>
      <c r="BE2" s="54" t="inlineStr">
        <is>
          <t>医疗补差</t>
        </is>
      </c>
      <c r="BF2" s="52" t="n"/>
      <c r="BG2" s="52" t="n"/>
      <c r="BH2" s="52" t="n"/>
      <c r="BI2" s="53" t="n"/>
      <c r="BJ2" s="44" t="inlineStr">
        <is>
          <t>个人社保
补缴合计</t>
        </is>
      </c>
      <c r="BK2" s="44" t="inlineStr">
        <is>
          <t>单位社保
补缴合计</t>
        </is>
      </c>
      <c r="BL2" s="44" t="inlineStr">
        <is>
          <t>个人公积金
补缴合计</t>
        </is>
      </c>
      <c r="BM2" s="44" t="inlineStr">
        <is>
          <t>单位公积金
补缴合计</t>
        </is>
      </c>
      <c r="BN2" s="44" t="inlineStr">
        <is>
          <t>单位补缴滞纳金</t>
        </is>
      </c>
      <c r="BO2" s="45" t="inlineStr">
        <is>
          <t>个人社保  合计</t>
        </is>
      </c>
      <c r="BP2" s="45" t="inlineStr">
        <is>
          <t>单位社保  合计</t>
        </is>
      </c>
      <c r="BQ2" s="45" t="inlineStr">
        <is>
          <t>社保缴纳  合计</t>
        </is>
      </c>
      <c r="BR2" s="45" t="inlineStr">
        <is>
          <t>个人公积金合计</t>
        </is>
      </c>
      <c r="BS2" s="45" t="inlineStr">
        <is>
          <t>单位公积金合计</t>
        </is>
      </c>
      <c r="BT2" s="45" t="inlineStr">
        <is>
          <t>公积金缴纳合计</t>
        </is>
      </c>
      <c r="BU2" s="55" t="inlineStr">
        <is>
          <t>管理费</t>
        </is>
      </c>
      <c r="BV2" s="45" t="inlineStr">
        <is>
          <t>税金</t>
        </is>
      </c>
      <c r="BW2" s="45" t="inlineStr">
        <is>
          <t>费用总计</t>
        </is>
      </c>
      <c r="BX2" s="10" t="inlineStr">
        <is>
          <t>备注</t>
        </is>
      </c>
    </row>
    <row r="3" ht="41" customHeight="1" s="51">
      <c r="A3" s="56" t="n"/>
      <c r="B3" s="56" t="n"/>
      <c r="C3" s="56" t="n"/>
      <c r="D3" s="56" t="n"/>
      <c r="E3" s="56" t="n"/>
      <c r="F3" s="56" t="n"/>
      <c r="G3" s="56" t="n"/>
      <c r="H3" s="56" t="n"/>
      <c r="I3" s="16" t="inlineStr">
        <is>
          <t>基数</t>
        </is>
      </c>
      <c r="J3" s="16" t="inlineStr">
        <is>
          <t>个人(8%)</t>
        </is>
      </c>
      <c r="K3" s="16" t="inlineStr">
        <is>
          <t>个人金额</t>
        </is>
      </c>
      <c r="L3" s="16" t="inlineStr">
        <is>
          <t>单位(16%)</t>
        </is>
      </c>
      <c r="M3" s="16" t="inlineStr">
        <is>
          <t>单位金额</t>
        </is>
      </c>
      <c r="N3" s="21" t="inlineStr">
        <is>
          <t>基数</t>
        </is>
      </c>
      <c r="O3" s="21" t="inlineStr">
        <is>
          <t>个人(2%)</t>
        </is>
      </c>
      <c r="P3" s="21" t="inlineStr">
        <is>
          <t>个人金额</t>
        </is>
      </c>
      <c r="Q3" s="21" t="inlineStr">
        <is>
          <t>单位(6.8%)</t>
        </is>
      </c>
      <c r="R3" s="19" t="inlineStr">
        <is>
          <t>单位金额</t>
        </is>
      </c>
      <c r="S3" s="24" t="inlineStr">
        <is>
          <t>基数</t>
        </is>
      </c>
      <c r="T3" s="24" t="inlineStr">
        <is>
          <t>个人(0.5%)</t>
        </is>
      </c>
      <c r="U3" s="24" t="inlineStr">
        <is>
          <t>个人  金额</t>
        </is>
      </c>
      <c r="V3" s="24" t="inlineStr">
        <is>
          <t>单位(0.5%)</t>
        </is>
      </c>
      <c r="W3" s="24" t="inlineStr">
        <is>
          <t>单位金额</t>
        </is>
      </c>
      <c r="X3" s="27" t="inlineStr">
        <is>
          <t>基数</t>
        </is>
      </c>
      <c r="Y3" s="27" t="inlineStr">
        <is>
          <t>单位(0.32%)</t>
        </is>
      </c>
      <c r="Z3" s="27" t="inlineStr">
        <is>
          <t>单位  金额</t>
        </is>
      </c>
      <c r="AA3" s="29" t="inlineStr">
        <is>
          <t>基数</t>
        </is>
      </c>
      <c r="AB3" s="29" t="inlineStr">
        <is>
          <t>单位(0.12%)</t>
        </is>
      </c>
      <c r="AC3" s="29" t="inlineStr">
        <is>
          <t>单位  金额</t>
        </is>
      </c>
      <c r="AD3" s="29" t="inlineStr">
        <is>
          <t>基数</t>
        </is>
      </c>
      <c r="AE3" s="29" t="inlineStr">
        <is>
          <t>单位(0.2%)</t>
        </is>
      </c>
      <c r="AF3" s="29" t="inlineStr">
        <is>
          <t>单位  金额</t>
        </is>
      </c>
      <c r="AG3" s="24" t="inlineStr">
        <is>
          <t>基数</t>
        </is>
      </c>
      <c r="AH3" s="24" t="inlineStr">
        <is>
          <t>个人(0.2%)</t>
        </is>
      </c>
      <c r="AI3" s="24" t="inlineStr">
        <is>
          <t>个人  金额</t>
        </is>
      </c>
      <c r="AJ3" s="24" t="inlineStr">
        <is>
          <t>单位(0.3%)</t>
        </is>
      </c>
      <c r="AK3" s="24" t="inlineStr">
        <is>
          <t>单位金额</t>
        </is>
      </c>
      <c r="AL3" s="34" t="inlineStr">
        <is>
          <t>基数</t>
        </is>
      </c>
      <c r="AM3" s="34" t="inlineStr">
        <is>
          <t>个人(5%)</t>
        </is>
      </c>
      <c r="AN3" s="34" t="inlineStr">
        <is>
          <t>个人金额</t>
        </is>
      </c>
      <c r="AO3" s="34" t="inlineStr">
        <is>
          <t>单位(5%)</t>
        </is>
      </c>
      <c r="AP3" s="34" t="inlineStr">
        <is>
          <t>单位金额</t>
        </is>
      </c>
      <c r="AQ3" s="36" t="inlineStr">
        <is>
          <t>单位金额</t>
        </is>
      </c>
      <c r="AR3" s="38" t="inlineStr">
        <is>
          <t>基数</t>
        </is>
      </c>
      <c r="AS3" s="38" t="inlineStr">
        <is>
          <t>个人</t>
        </is>
      </c>
      <c r="AT3" s="38" t="inlineStr">
        <is>
          <t>金额</t>
        </is>
      </c>
      <c r="AU3" s="38" t="inlineStr">
        <is>
          <t>单位</t>
        </is>
      </c>
      <c r="AV3" s="38" t="inlineStr">
        <is>
          <t>金额</t>
        </is>
      </c>
      <c r="AW3" s="42" t="inlineStr">
        <is>
          <t>基数</t>
        </is>
      </c>
      <c r="AX3" s="42" t="inlineStr">
        <is>
          <t>个人</t>
        </is>
      </c>
      <c r="AY3" s="42" t="inlineStr">
        <is>
          <t>金额</t>
        </is>
      </c>
      <c r="AZ3" s="42" t="inlineStr">
        <is>
          <t>单位</t>
        </is>
      </c>
      <c r="BA3" s="42" t="inlineStr">
        <is>
          <t>金额</t>
        </is>
      </c>
      <c r="BB3" s="27" t="inlineStr">
        <is>
          <t>基数</t>
        </is>
      </c>
      <c r="BC3" s="27" t="inlineStr">
        <is>
          <t>单位</t>
        </is>
      </c>
      <c r="BD3" s="27" t="inlineStr">
        <is>
          <t>单位  金额</t>
        </is>
      </c>
      <c r="BE3" s="42" t="inlineStr">
        <is>
          <t>基数</t>
        </is>
      </c>
      <c r="BF3" s="42" t="inlineStr">
        <is>
          <t>个人</t>
        </is>
      </c>
      <c r="BG3" s="42" t="inlineStr">
        <is>
          <t>金额</t>
        </is>
      </c>
      <c r="BH3" s="42" t="inlineStr">
        <is>
          <t>单位</t>
        </is>
      </c>
      <c r="BI3" s="42" t="inlineStr">
        <is>
          <t>金额</t>
        </is>
      </c>
      <c r="BJ3" s="56" t="n"/>
      <c r="BK3" s="56" t="n"/>
      <c r="BL3" s="56" t="n"/>
      <c r="BM3" s="56" t="n"/>
      <c r="BN3" s="56" t="n"/>
      <c r="BO3" s="56" t="n"/>
      <c r="BP3" s="56" t="n"/>
      <c r="BQ3" s="56" t="n"/>
      <c r="BR3" s="56" t="n"/>
      <c r="BS3" s="56" t="n"/>
      <c r="BT3" s="56" t="n"/>
      <c r="BU3" s="56" t="n"/>
      <c r="BV3" s="56" t="n"/>
      <c r="BW3" s="56" t="n"/>
      <c r="BX3" s="56" t="n"/>
    </row>
    <row r="4" ht="18" customHeight="1" s="51">
      <c r="A4" s="57" t="n">
        <v>1</v>
      </c>
      <c r="B4" s="58" t="inlineStr">
        <is>
          <t>春苗</t>
        </is>
      </c>
      <c r="C4" s="59" t="inlineStr">
        <is>
          <t>南昌</t>
        </is>
      </c>
      <c r="D4" s="59" t="inlineStr">
        <is>
          <t>上饶</t>
        </is>
      </c>
      <c r="E4" s="59" t="inlineStr">
        <is>
          <t>张三</t>
        </is>
      </c>
      <c r="F4" s="60" t="inlineStr">
        <is>
          <t>123456</t>
        </is>
      </c>
      <c r="G4" s="57" t="n">
        <v>202509</v>
      </c>
      <c r="H4" s="59" t="n">
        <v>202605</v>
      </c>
      <c r="I4" s="59" t="n">
        <v>1234</v>
      </c>
      <c r="J4" s="61" t="n">
        <v>0.08</v>
      </c>
      <c r="K4" s="59">
        <f>ROUND(I4*J4,2)</f>
        <v/>
      </c>
      <c r="L4" s="61" t="n">
        <v>0.16</v>
      </c>
      <c r="M4" s="59">
        <f>ROUND(I4*L4,2)</f>
        <v/>
      </c>
      <c r="N4" s="59" t="n">
        <v>1234</v>
      </c>
      <c r="O4" s="62" t="n">
        <v>0.02</v>
      </c>
      <c r="P4" s="59">
        <f>ROUND(N4*O4,2)</f>
        <v/>
      </c>
      <c r="Q4" s="61" t="n">
        <v>0.068</v>
      </c>
      <c r="R4" s="59">
        <f>ROUND(N4*Q4,2)</f>
        <v/>
      </c>
      <c r="S4" s="59" t="n">
        <v>1234</v>
      </c>
      <c r="T4" s="61" t="n">
        <v>0.005</v>
      </c>
      <c r="U4" s="59">
        <f>ROUND(S4*T4,2)</f>
        <v/>
      </c>
      <c r="V4" s="61" t="n">
        <v>0.005</v>
      </c>
      <c r="W4" s="59">
        <f>ROUND(S4*V4,2)</f>
        <v/>
      </c>
      <c r="X4" s="59" t="n">
        <v>1234</v>
      </c>
      <c r="Y4" s="61" t="n">
        <v>0.0032</v>
      </c>
      <c r="Z4" s="59">
        <f>ROUND(X4*Y4,2)</f>
        <v/>
      </c>
      <c r="AA4" s="59" t="n">
        <v>1234</v>
      </c>
      <c r="AB4" s="61" t="n">
        <v>0.0012</v>
      </c>
      <c r="AC4" s="59">
        <f>ROUND(AA4*AB4,2)</f>
        <v/>
      </c>
      <c r="AD4" s="59" t="n">
        <v>1234</v>
      </c>
      <c r="AE4" s="61" t="n">
        <v>0.002</v>
      </c>
      <c r="AF4" s="59">
        <f>ROUND(AD4*AE4,2)</f>
        <v/>
      </c>
      <c r="AG4" s="59" t="n">
        <v>1234</v>
      </c>
      <c r="AH4" s="61" t="n">
        <v>0.002</v>
      </c>
      <c r="AI4" s="59">
        <f>ROUND(AG4*AH4,2)</f>
        <v/>
      </c>
      <c r="AJ4" s="61" t="n">
        <v>0.003</v>
      </c>
      <c r="AK4" s="59">
        <f>ROUND(AG4*AJ4,2)</f>
        <v/>
      </c>
      <c r="AL4" s="63" t="n">
        <v>1234</v>
      </c>
      <c r="AM4" s="64" t="n">
        <v>0.05</v>
      </c>
      <c r="AN4" s="63">
        <f>ROUND(AL4*AM4,2)</f>
        <v/>
      </c>
      <c r="AO4" s="64" t="n">
        <v>0.05</v>
      </c>
      <c r="AP4" s="63">
        <f>ROUND(AL4*AO4,2)</f>
        <v/>
      </c>
      <c r="AQ4" s="65" t="n">
        <v>0</v>
      </c>
      <c r="AR4" s="59" t="n">
        <v>1234</v>
      </c>
      <c r="AS4" s="61" t="n">
        <v>0.02</v>
      </c>
      <c r="AT4" s="59" t="n">
        <v>12.16</v>
      </c>
      <c r="AU4" s="61" t="n">
        <v>0.068</v>
      </c>
      <c r="AV4" s="59" t="n">
        <v>24.32</v>
      </c>
      <c r="AW4" s="59" t="n">
        <v>1234</v>
      </c>
      <c r="AX4" s="61" t="n">
        <v>0.005</v>
      </c>
      <c r="AY4" s="59" t="n">
        <v>0.76</v>
      </c>
      <c r="AZ4" s="61" t="n">
        <v>0.005</v>
      </c>
      <c r="BA4" s="59" t="n">
        <v>0.76</v>
      </c>
      <c r="BB4" s="59" t="n">
        <v>1234</v>
      </c>
      <c r="BC4" s="61" t="n">
        <v>0.0032</v>
      </c>
      <c r="BD4" s="59" t="n">
        <v>0.5</v>
      </c>
      <c r="BE4" s="59" t="n">
        <v>1234</v>
      </c>
      <c r="BF4" s="61" t="n">
        <v>0.005</v>
      </c>
      <c r="BG4" s="59" t="n">
        <v>0.76</v>
      </c>
      <c r="BH4" s="61" t="n">
        <v>0.005</v>
      </c>
      <c r="BI4" s="59" t="n">
        <v>0.76</v>
      </c>
      <c r="BJ4" s="59">
        <f>AT4+AY4</f>
        <v/>
      </c>
      <c r="BK4" s="59">
        <f>AV4+BA4+BD4+BI4</f>
        <v/>
      </c>
      <c r="BL4" s="59" t="n"/>
      <c r="BM4" s="59" t="n"/>
      <c r="BN4" s="59" t="n"/>
      <c r="BO4" s="66">
        <f>K4+P4+U4+AI4+BJ4</f>
        <v/>
      </c>
      <c r="BP4" s="66">
        <f>M4+R4+W4+Z4+AK4+BK4+AC4+BN4</f>
        <v/>
      </c>
      <c r="BQ4" s="66">
        <f>BO4+BP4</f>
        <v/>
      </c>
      <c r="BR4" s="66" t="n"/>
      <c r="BS4" s="66" t="n"/>
      <c r="BT4" s="66" t="n"/>
      <c r="BU4" s="67" t="n">
        <v>0</v>
      </c>
      <c r="BV4" s="66">
        <f>ROUND((BQ4+BU4)*6.72%,2)</f>
        <v/>
      </c>
      <c r="BW4" s="66">
        <f>BQ4+BU4+BV4</f>
        <v/>
      </c>
      <c r="BX4" s="57" t="n"/>
    </row>
  </sheetData>
  <mergeCells count="36">
    <mergeCell ref="BU2:BU3"/>
    <mergeCell ref="BM2:BM3"/>
    <mergeCell ref="BW2:BW3"/>
    <mergeCell ref="BO2:BO3"/>
    <mergeCell ref="AW2:BA2"/>
    <mergeCell ref="I2:M2"/>
    <mergeCell ref="B2:B3"/>
    <mergeCell ref="D2:D3"/>
    <mergeCell ref="AL2:AP2"/>
    <mergeCell ref="F2:F3"/>
    <mergeCell ref="H2:H3"/>
    <mergeCell ref="BJ2:BJ3"/>
    <mergeCell ref="BP2:BP3"/>
    <mergeCell ref="AD2:AF2"/>
    <mergeCell ref="S2:W2"/>
    <mergeCell ref="N2:R2"/>
    <mergeCell ref="AG2:AK2"/>
    <mergeCell ref="A2:A3"/>
    <mergeCell ref="C2:C3"/>
    <mergeCell ref="BT2:BT3"/>
    <mergeCell ref="E2:E3"/>
    <mergeCell ref="BV2:BV3"/>
    <mergeCell ref="BX2:BX3"/>
    <mergeCell ref="AA2:AC2"/>
    <mergeCell ref="BB2:BD2"/>
    <mergeCell ref="BK2:BK3"/>
    <mergeCell ref="BQ2:BQ3"/>
    <mergeCell ref="BS2:BS3"/>
    <mergeCell ref="BE2:BI2"/>
    <mergeCell ref="X2:Z2"/>
    <mergeCell ref="BL2:BL3"/>
    <mergeCell ref="BN2:BN3"/>
    <mergeCell ref="AR2:AV2"/>
    <mergeCell ref="A1:BX1"/>
    <mergeCell ref="G2:G3"/>
    <mergeCell ref="BR2:BR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yun</dc:creator>
  <dcterms:created xmlns:dcterms="http://purl.org/dc/terms/" xmlns:xsi="http://www.w3.org/2001/XMLSchema-instance" xsi:type="dcterms:W3CDTF">2026-05-25T21:54:00Z</dcterms:created>
  <dcterms:modified xmlns:dcterms="http://purl.org/dc/terms/" xmlns:xsi="http://www.w3.org/2001/XMLSchema-instance" xsi:type="dcterms:W3CDTF">2026-09-18T09:58:18Z</dcterms:modified>
  <cp:lastModifiedBy>王同学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63DE8ABEB4994FC79959AD1BDF195C81_11</vt:lpwstr>
  </property>
  <property name="KSOProductBuildVer" fmtid="{D5CDD505-2E9C-101B-9397-08002B2CF9AE}" pid="3">
    <vt:lpwstr xmlns:vt="http://schemas.openxmlformats.org/officeDocument/2006/docPropsVTypes">2052-6.12.1.8902</vt:lpwstr>
  </property>
  <property name="CalculationRule" fmtid="{D5CDD505-2E9C-101B-9397-08002B2CF9AE}" pid="4">
    <vt:i4 xmlns:vt="http://schemas.openxmlformats.org/officeDocument/2006/docPropsVTypes">1</vt:i4>
  </property>
</Properties>
</file>